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masterarbeit\Studie\"/>
    </mc:Choice>
  </mc:AlternateContent>
  <xr:revisionPtr revIDLastSave="0" documentId="13_ncr:1_{3FE10F42-C160-46B8-AD0D-6AA567C41111}" xr6:coauthVersionLast="44" xr6:coauthVersionMax="44" xr10:uidLastSave="{00000000-0000-0000-0000-000000000000}"/>
  <bookViews>
    <workbookView xWindow="34390" yWindow="5900" windowWidth="7500" windowHeight="6000" xr2:uid="{BDE5BCD3-68C0-47F1-82EF-4767C0C1A60E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5" i="1" l="1"/>
  <c r="J7" i="1"/>
  <c r="J9" i="1"/>
  <c r="J11" i="1"/>
  <c r="J13" i="1"/>
  <c r="J12" i="1"/>
  <c r="J10" i="1"/>
  <c r="J8" i="1"/>
  <c r="J6" i="1"/>
  <c r="J4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E17" i="1"/>
  <c r="E18" i="1"/>
  <c r="E19" i="1"/>
  <c r="E20" i="1"/>
  <c r="E21" i="1"/>
  <c r="E22" i="1"/>
  <c r="E23" i="1"/>
  <c r="E24" i="1"/>
  <c r="E25" i="1"/>
  <c r="D17" i="1"/>
  <c r="D18" i="1"/>
  <c r="D19" i="1"/>
  <c r="D20" i="1"/>
  <c r="D21" i="1"/>
  <c r="D22" i="1"/>
  <c r="D23" i="1"/>
  <c r="D24" i="1"/>
  <c r="D25" i="1"/>
  <c r="C17" i="1"/>
  <c r="C18" i="1"/>
  <c r="C19" i="1"/>
  <c r="C20" i="1"/>
  <c r="C21" i="1"/>
  <c r="C22" i="1"/>
  <c r="C23" i="1"/>
  <c r="C24" i="1"/>
  <c r="C25" i="1"/>
  <c r="F16" i="1"/>
  <c r="E16" i="1"/>
  <c r="D16" i="1"/>
  <c r="C16" i="1"/>
  <c r="B17" i="1"/>
  <c r="B18" i="1"/>
  <c r="B19" i="1"/>
  <c r="B20" i="1"/>
  <c r="B21" i="1"/>
  <c r="B22" i="1"/>
  <c r="B23" i="1"/>
  <c r="B24" i="1"/>
  <c r="B25" i="1"/>
  <c r="B16" i="1"/>
  <c r="H6" i="1"/>
  <c r="H5" i="1"/>
  <c r="H7" i="1"/>
  <c r="H8" i="1"/>
  <c r="H9" i="1"/>
  <c r="H10" i="1"/>
  <c r="H11" i="1"/>
  <c r="H12" i="1"/>
  <c r="H13" i="1"/>
  <c r="H4" i="1"/>
  <c r="G4" i="1"/>
  <c r="G5" i="1"/>
  <c r="G6" i="1"/>
  <c r="G7" i="1"/>
  <c r="G8" i="1"/>
  <c r="G9" i="1"/>
  <c r="G10" i="1"/>
  <c r="G11" i="1"/>
  <c r="G12" i="1"/>
  <c r="G13" i="1"/>
  <c r="L2" i="1" l="1"/>
  <c r="M2" i="1" s="1"/>
</calcChain>
</file>

<file path=xl/sharedStrings.xml><?xml version="1.0" encoding="utf-8"?>
<sst xmlns="http://schemas.openxmlformats.org/spreadsheetml/2006/main" count="27" uniqueCount="27">
  <si>
    <t>Teilnehmer</t>
  </si>
  <si>
    <t>Punktzahl</t>
  </si>
  <si>
    <t>overall:</t>
  </si>
  <si>
    <t>SUS</t>
  </si>
  <si>
    <t>gerad:</t>
  </si>
  <si>
    <t>ungerade;</t>
  </si>
  <si>
    <t xml:space="preserve"> Wert -1</t>
  </si>
  <si>
    <t xml:space="preserve"> 5- wert</t>
  </si>
  <si>
    <t>total</t>
  </si>
  <si>
    <t>Spoken answers clear and natural</t>
  </si>
  <si>
    <t>responded quickly</t>
  </si>
  <si>
    <t>no problems correctly understanding</t>
  </si>
  <si>
    <t>interaction felt natural</t>
  </si>
  <si>
    <t>no problems wakeword</t>
  </si>
  <si>
    <t>answers quick &gt; machine</t>
  </si>
  <si>
    <t>offering help on sight</t>
  </si>
  <si>
    <t>privacy important</t>
  </si>
  <si>
    <t>mor use, when privacy</t>
  </si>
  <si>
    <t>natural &gt; speed</t>
  </si>
  <si>
    <t>using voice assistant</t>
  </si>
  <si>
    <t>Agree</t>
  </si>
  <si>
    <t>Disagree</t>
  </si>
  <si>
    <t>Enthaltung</t>
  </si>
  <si>
    <t xml:space="preserve"> -&gt; swap</t>
  </si>
  <si>
    <t>delay disturbing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</si>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</sst>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SUS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Tabelle1!$J$4:$J$13</c:f>
              <c:numCache>
                <c:formatCode>General</c:formatCode>
                <c:ptCount val="10"/>
                <c:pt idx="0">
                  <c:v>1.8461538461538463</c:v>
                </c:pt>
                <c:pt idx="1">
                  <c:v>2.9090909090909092</c:v>
                </c:pt>
                <c:pt idx="2">
                  <c:v>3</c:v>
                </c:pt>
                <c:pt idx="3">
                  <c:v>3.2307692307692308</c:v>
                </c:pt>
                <c:pt idx="4">
                  <c:v>2.4166666666666665</c:v>
                </c:pt>
                <c:pt idx="5">
                  <c:v>2.0833333333333335</c:v>
                </c:pt>
                <c:pt idx="6">
                  <c:v>3</c:v>
                </c:pt>
                <c:pt idx="7">
                  <c:v>3.0769230769230766</c:v>
                </c:pt>
                <c:pt idx="8">
                  <c:v>2.75</c:v>
                </c:pt>
                <c:pt idx="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6-4BA0-853D-E880A2AE3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48472"/>
        <c:axId val="490647160"/>
      </c:scatterChart>
      <c:valAx>
        <c:axId val="490648472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question</a:t>
                </a:r>
                <a:r>
                  <a:rPr lang="de-DE" baseline="0"/>
                  <a:t> number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0647160"/>
        <c:crosses val="autoZero"/>
        <c:crossBetween val="midCat"/>
        <c:majorUnit val="1"/>
      </c:valAx>
      <c:valAx>
        <c:axId val="49064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normalised</a:t>
                </a:r>
                <a:r>
                  <a:rPr lang="de-DE" baseline="0"/>
                  <a:t> score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064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212725</xdr:colOff>
      <xdr:row>9</xdr:row>
      <xdr:rowOff>177800</xdr:rowOff>
    </xdr:from>
    <xdr:to>
      <xdr:col>16</xdr:col>
      <xdr:colOff>654051</xdr:colOff>
      <xdr:row>25</xdr:row>
      <xdr:rowOff>31750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9B5F8A7-9CB1-48E8-BE65-0D15D49B1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059D-C520-44BB-B5B3-2762E99599ED}">
  <dimension ref="A1:M51"/>
  <sheetViews>
    <sheetView tabSelected="1" topLeftCell="B1" workbookViewId="0">
      <selection activeCell="H17" sqref="H17"/>
    </sheetView>
  </sheetViews>
  <sheetFormatPr baseColWidth="10" defaultRowHeight="14.5" x14ac:dyDescent="0.35"/>
  <sheetData>
    <row r="1" spans="1:13" x14ac:dyDescent="0.35">
      <c r="M1" t="s">
        <v>8</v>
      </c>
    </row>
    <row r="2" spans="1:13" x14ac:dyDescent="0.35">
      <c r="G2" t="s">
        <v>0</v>
      </c>
      <c r="H2" t="s">
        <v>1</v>
      </c>
      <c r="J2" t="s">
        <v>3</v>
      </c>
      <c r="K2" t="s">
        <v>2</v>
      </c>
      <c r="L2">
        <f>SUM(J4:J13)</f>
        <v>27.812937062937063</v>
      </c>
      <c r="M2">
        <f>L2*2.5</f>
        <v>69.532342657342653</v>
      </c>
    </row>
    <row r="3" spans="1:13" x14ac:dyDescent="0.35">
      <c r="B3" s="1">
        <v>1</v>
      </c>
      <c r="C3" s="1">
        <v>2</v>
      </c>
      <c r="D3" s="1">
        <v>3</v>
      </c>
      <c r="E3" s="1">
        <v>4</v>
      </c>
      <c r="F3" s="1">
        <v>5</v>
      </c>
    </row>
    <row r="4" spans="1:13" x14ac:dyDescent="0.35">
      <c r="A4" s="1">
        <v>1</v>
      </c>
      <c r="B4">
        <v>1</v>
      </c>
      <c r="C4">
        <v>3</v>
      </c>
      <c r="D4">
        <v>7</v>
      </c>
      <c r="E4">
        <v>1</v>
      </c>
      <c r="F4">
        <v>1</v>
      </c>
      <c r="G4">
        <f t="shared" ref="G4:G13" si="0">SUM(B4:F4)</f>
        <v>13</v>
      </c>
      <c r="H4">
        <f>B4*B3+C4*C3+D4*D3+E4*E3+F4*F3</f>
        <v>37</v>
      </c>
      <c r="J4">
        <f>H16-1</f>
        <v>1.8461538461538463</v>
      </c>
    </row>
    <row r="5" spans="1:13" x14ac:dyDescent="0.35">
      <c r="A5" s="1">
        <v>2</v>
      </c>
      <c r="B5">
        <v>3</v>
      </c>
      <c r="C5">
        <v>6</v>
      </c>
      <c r="D5">
        <v>0</v>
      </c>
      <c r="E5">
        <v>2</v>
      </c>
      <c r="F5">
        <v>0</v>
      </c>
      <c r="G5">
        <f t="shared" si="0"/>
        <v>11</v>
      </c>
      <c r="H5">
        <f t="shared" ref="H5:H13" si="1">B5*B4+C5*C4+D5*D4+E5*E4+F5*F4</f>
        <v>23</v>
      </c>
      <c r="J5">
        <f>5-H17</f>
        <v>2.9090909090909092</v>
      </c>
    </row>
    <row r="6" spans="1:13" x14ac:dyDescent="0.35">
      <c r="A6" s="1">
        <v>3</v>
      </c>
      <c r="B6">
        <v>0</v>
      </c>
      <c r="C6">
        <v>0</v>
      </c>
      <c r="D6">
        <v>3</v>
      </c>
      <c r="E6">
        <v>7</v>
      </c>
      <c r="F6">
        <v>3</v>
      </c>
      <c r="G6">
        <f t="shared" si="0"/>
        <v>13</v>
      </c>
      <c r="H6">
        <f>B6*B5+C6*C5+D6*D5+E6*E5+F6*F5</f>
        <v>14</v>
      </c>
      <c r="J6">
        <f>H18-1</f>
        <v>3</v>
      </c>
    </row>
    <row r="7" spans="1:13" x14ac:dyDescent="0.35">
      <c r="A7" s="1">
        <v>4</v>
      </c>
      <c r="B7">
        <v>9</v>
      </c>
      <c r="C7">
        <v>1</v>
      </c>
      <c r="D7">
        <v>1</v>
      </c>
      <c r="E7">
        <v>1</v>
      </c>
      <c r="F7">
        <v>1</v>
      </c>
      <c r="G7">
        <f t="shared" si="0"/>
        <v>13</v>
      </c>
      <c r="H7">
        <f t="shared" si="1"/>
        <v>13</v>
      </c>
      <c r="J7">
        <f>5-H19</f>
        <v>3.2307692307692308</v>
      </c>
    </row>
    <row r="8" spans="1:13" x14ac:dyDescent="0.35">
      <c r="A8" s="1">
        <v>5</v>
      </c>
      <c r="B8">
        <v>1</v>
      </c>
      <c r="C8">
        <v>0</v>
      </c>
      <c r="D8">
        <v>5</v>
      </c>
      <c r="E8">
        <v>5</v>
      </c>
      <c r="F8">
        <v>1</v>
      </c>
      <c r="G8">
        <f t="shared" si="0"/>
        <v>12</v>
      </c>
      <c r="H8">
        <f t="shared" si="1"/>
        <v>20</v>
      </c>
      <c r="J8">
        <f>H20-1</f>
        <v>2.4166666666666665</v>
      </c>
    </row>
    <row r="9" spans="1:13" x14ac:dyDescent="0.35">
      <c r="A9" s="1">
        <v>6</v>
      </c>
      <c r="B9">
        <v>2</v>
      </c>
      <c r="C9">
        <v>3</v>
      </c>
      <c r="D9">
        <v>2</v>
      </c>
      <c r="E9">
        <v>4</v>
      </c>
      <c r="F9">
        <v>1</v>
      </c>
      <c r="G9">
        <f t="shared" si="0"/>
        <v>12</v>
      </c>
      <c r="H9">
        <f t="shared" si="1"/>
        <v>33</v>
      </c>
      <c r="J9">
        <f>5-H21</f>
        <v>2.0833333333333335</v>
      </c>
    </row>
    <row r="10" spans="1:13" x14ac:dyDescent="0.35">
      <c r="A10" s="1">
        <v>7</v>
      </c>
      <c r="B10">
        <v>0</v>
      </c>
      <c r="C10">
        <v>1</v>
      </c>
      <c r="D10">
        <v>3</v>
      </c>
      <c r="E10">
        <v>4</v>
      </c>
      <c r="F10">
        <v>5</v>
      </c>
      <c r="G10">
        <f t="shared" si="0"/>
        <v>13</v>
      </c>
      <c r="H10">
        <f t="shared" si="1"/>
        <v>30</v>
      </c>
      <c r="J10">
        <f>H22-1</f>
        <v>3</v>
      </c>
    </row>
    <row r="11" spans="1:13" x14ac:dyDescent="0.35">
      <c r="A11" s="1">
        <v>8</v>
      </c>
      <c r="B11">
        <v>5</v>
      </c>
      <c r="C11">
        <v>5</v>
      </c>
      <c r="D11">
        <v>2</v>
      </c>
      <c r="E11">
        <v>1</v>
      </c>
      <c r="F11">
        <v>0</v>
      </c>
      <c r="G11">
        <f t="shared" si="0"/>
        <v>13</v>
      </c>
      <c r="H11">
        <f t="shared" si="1"/>
        <v>15</v>
      </c>
      <c r="J11">
        <f>5-H23</f>
        <v>3.0769230769230766</v>
      </c>
    </row>
    <row r="12" spans="1:13" x14ac:dyDescent="0.35">
      <c r="A12" s="1">
        <v>9</v>
      </c>
      <c r="B12">
        <v>1</v>
      </c>
      <c r="C12">
        <v>1</v>
      </c>
      <c r="D12">
        <v>2</v>
      </c>
      <c r="E12">
        <v>4</v>
      </c>
      <c r="F12">
        <v>4</v>
      </c>
      <c r="G12">
        <f t="shared" si="0"/>
        <v>12</v>
      </c>
      <c r="H12">
        <f t="shared" si="1"/>
        <v>18</v>
      </c>
      <c r="J12">
        <f>H24-1</f>
        <v>2.75</v>
      </c>
    </row>
    <row r="13" spans="1:13" x14ac:dyDescent="0.35">
      <c r="A13" s="1">
        <v>10</v>
      </c>
      <c r="B13">
        <v>9</v>
      </c>
      <c r="C13">
        <v>2</v>
      </c>
      <c r="D13">
        <v>0</v>
      </c>
      <c r="E13">
        <v>0</v>
      </c>
      <c r="F13">
        <v>1</v>
      </c>
      <c r="G13">
        <f t="shared" si="0"/>
        <v>12</v>
      </c>
      <c r="H13">
        <f t="shared" si="1"/>
        <v>15</v>
      </c>
      <c r="J13">
        <f>5-H25</f>
        <v>3.5</v>
      </c>
    </row>
    <row r="16" spans="1:13" x14ac:dyDescent="0.35">
      <c r="A16" s="1">
        <v>1</v>
      </c>
      <c r="B16">
        <f>B4*$B$3</f>
        <v>1</v>
      </c>
      <c r="C16">
        <f>$C$3*C4</f>
        <v>6</v>
      </c>
      <c r="D16">
        <f>$D$3*D4</f>
        <v>21</v>
      </c>
      <c r="E16">
        <f>$E$3*E4</f>
        <v>4</v>
      </c>
      <c r="F16">
        <f>$F$3*F4</f>
        <v>5</v>
      </c>
      <c r="G16">
        <f>SUM(B16:F16)</f>
        <v>37</v>
      </c>
      <c r="H16">
        <f>G16/G4</f>
        <v>2.8461538461538463</v>
      </c>
    </row>
    <row r="17" spans="1:10" x14ac:dyDescent="0.35">
      <c r="A17" s="1">
        <v>2</v>
      </c>
      <c r="B17">
        <f t="shared" ref="B17:B25" si="2">B5*$B$3</f>
        <v>3</v>
      </c>
      <c r="C17">
        <f t="shared" ref="C17:C25" si="3">$C$3*C5</f>
        <v>12</v>
      </c>
      <c r="D17">
        <f t="shared" ref="D17:D25" si="4">$D$3*D5</f>
        <v>0</v>
      </c>
      <c r="E17">
        <f t="shared" ref="E17:E25" si="5">$E$3*E5</f>
        <v>8</v>
      </c>
      <c r="F17">
        <f t="shared" ref="F17:F25" si="6">$F$3*F5</f>
        <v>0</v>
      </c>
      <c r="G17">
        <f t="shared" ref="G17:G25" si="7">SUM(B17:F17)</f>
        <v>23</v>
      </c>
      <c r="H17">
        <f t="shared" ref="H17:H25" si="8">G17/G5</f>
        <v>2.0909090909090908</v>
      </c>
    </row>
    <row r="18" spans="1:10" x14ac:dyDescent="0.35">
      <c r="A18" s="1">
        <v>3</v>
      </c>
      <c r="B18">
        <f t="shared" si="2"/>
        <v>0</v>
      </c>
      <c r="C18">
        <f t="shared" si="3"/>
        <v>0</v>
      </c>
      <c r="D18">
        <f t="shared" si="4"/>
        <v>9</v>
      </c>
      <c r="E18">
        <f t="shared" si="5"/>
        <v>28</v>
      </c>
      <c r="F18">
        <f t="shared" si="6"/>
        <v>15</v>
      </c>
      <c r="G18">
        <f t="shared" si="7"/>
        <v>52</v>
      </c>
      <c r="H18">
        <f t="shared" si="8"/>
        <v>4</v>
      </c>
      <c r="I18" t="s">
        <v>5</v>
      </c>
      <c r="J18" t="s">
        <v>6</v>
      </c>
    </row>
    <row r="19" spans="1:10" x14ac:dyDescent="0.35">
      <c r="A19" s="1">
        <v>4</v>
      </c>
      <c r="B19">
        <f t="shared" si="2"/>
        <v>9</v>
      </c>
      <c r="C19">
        <f t="shared" si="3"/>
        <v>2</v>
      </c>
      <c r="D19">
        <f t="shared" si="4"/>
        <v>3</v>
      </c>
      <c r="E19">
        <f t="shared" si="5"/>
        <v>4</v>
      </c>
      <c r="F19">
        <f t="shared" si="6"/>
        <v>5</v>
      </c>
      <c r="G19">
        <f t="shared" si="7"/>
        <v>23</v>
      </c>
      <c r="H19">
        <f t="shared" si="8"/>
        <v>1.7692307692307692</v>
      </c>
      <c r="I19" t="s">
        <v>4</v>
      </c>
      <c r="J19" t="s">
        <v>7</v>
      </c>
    </row>
    <row r="20" spans="1:10" x14ac:dyDescent="0.35">
      <c r="A20" s="1">
        <v>5</v>
      </c>
      <c r="B20">
        <f t="shared" si="2"/>
        <v>1</v>
      </c>
      <c r="C20">
        <f t="shared" si="3"/>
        <v>0</v>
      </c>
      <c r="D20">
        <f t="shared" si="4"/>
        <v>15</v>
      </c>
      <c r="E20">
        <f t="shared" si="5"/>
        <v>20</v>
      </c>
      <c r="F20">
        <f t="shared" si="6"/>
        <v>5</v>
      </c>
      <c r="G20">
        <f t="shared" si="7"/>
        <v>41</v>
      </c>
      <c r="H20">
        <f t="shared" si="8"/>
        <v>3.4166666666666665</v>
      </c>
    </row>
    <row r="21" spans="1:10" x14ac:dyDescent="0.35">
      <c r="A21" s="1">
        <v>6</v>
      </c>
      <c r="B21">
        <f t="shared" si="2"/>
        <v>2</v>
      </c>
      <c r="C21">
        <f t="shared" si="3"/>
        <v>6</v>
      </c>
      <c r="D21">
        <f t="shared" si="4"/>
        <v>6</v>
      </c>
      <c r="E21">
        <f t="shared" si="5"/>
        <v>16</v>
      </c>
      <c r="F21">
        <f t="shared" si="6"/>
        <v>5</v>
      </c>
      <c r="G21">
        <f t="shared" si="7"/>
        <v>35</v>
      </c>
      <c r="H21">
        <f t="shared" si="8"/>
        <v>2.9166666666666665</v>
      </c>
    </row>
    <row r="22" spans="1:10" x14ac:dyDescent="0.35">
      <c r="A22" s="1">
        <v>7</v>
      </c>
      <c r="B22">
        <f t="shared" si="2"/>
        <v>0</v>
      </c>
      <c r="C22">
        <f t="shared" si="3"/>
        <v>2</v>
      </c>
      <c r="D22">
        <f t="shared" si="4"/>
        <v>9</v>
      </c>
      <c r="E22">
        <f t="shared" si="5"/>
        <v>16</v>
      </c>
      <c r="F22">
        <f t="shared" si="6"/>
        <v>25</v>
      </c>
      <c r="G22">
        <f t="shared" si="7"/>
        <v>52</v>
      </c>
      <c r="H22">
        <f t="shared" si="8"/>
        <v>4</v>
      </c>
    </row>
    <row r="23" spans="1:10" x14ac:dyDescent="0.35">
      <c r="A23" s="1">
        <v>8</v>
      </c>
      <c r="B23">
        <f t="shared" si="2"/>
        <v>5</v>
      </c>
      <c r="C23">
        <f t="shared" si="3"/>
        <v>10</v>
      </c>
      <c r="D23">
        <f t="shared" si="4"/>
        <v>6</v>
      </c>
      <c r="E23">
        <f t="shared" si="5"/>
        <v>4</v>
      </c>
      <c r="F23">
        <f t="shared" si="6"/>
        <v>0</v>
      </c>
      <c r="G23">
        <f t="shared" si="7"/>
        <v>25</v>
      </c>
      <c r="H23">
        <f t="shared" si="8"/>
        <v>1.9230769230769231</v>
      </c>
    </row>
    <row r="24" spans="1:10" x14ac:dyDescent="0.35">
      <c r="A24" s="1">
        <v>9</v>
      </c>
      <c r="B24">
        <f t="shared" si="2"/>
        <v>1</v>
      </c>
      <c r="C24">
        <f t="shared" si="3"/>
        <v>2</v>
      </c>
      <c r="D24">
        <f t="shared" si="4"/>
        <v>6</v>
      </c>
      <c r="E24">
        <f t="shared" si="5"/>
        <v>16</v>
      </c>
      <c r="F24">
        <f t="shared" si="6"/>
        <v>20</v>
      </c>
      <c r="G24">
        <f t="shared" si="7"/>
        <v>45</v>
      </c>
      <c r="H24">
        <f t="shared" si="8"/>
        <v>3.75</v>
      </c>
    </row>
    <row r="25" spans="1:10" x14ac:dyDescent="0.35">
      <c r="A25" s="1">
        <v>10</v>
      </c>
      <c r="B25">
        <f t="shared" si="2"/>
        <v>9</v>
      </c>
      <c r="C25">
        <f t="shared" si="3"/>
        <v>4</v>
      </c>
      <c r="D25">
        <f t="shared" si="4"/>
        <v>0</v>
      </c>
      <c r="E25">
        <f t="shared" si="5"/>
        <v>0</v>
      </c>
      <c r="F25">
        <f t="shared" si="6"/>
        <v>5</v>
      </c>
      <c r="G25">
        <f t="shared" si="7"/>
        <v>18</v>
      </c>
      <c r="H25">
        <f t="shared" si="8"/>
        <v>1.5</v>
      </c>
    </row>
    <row r="27" spans="1:10" x14ac:dyDescent="0.35">
      <c r="E27" t="s">
        <v>20</v>
      </c>
      <c r="I27" t="s">
        <v>21</v>
      </c>
      <c r="J27" t="s">
        <v>22</v>
      </c>
    </row>
    <row r="28" spans="1:10" x14ac:dyDescent="0.35">
      <c r="E28">
        <v>1</v>
      </c>
      <c r="F28">
        <v>2</v>
      </c>
      <c r="G28">
        <v>3</v>
      </c>
      <c r="H28">
        <v>4</v>
      </c>
      <c r="I28">
        <v>5</v>
      </c>
    </row>
    <row r="29" spans="1:10" x14ac:dyDescent="0.35">
      <c r="B29" t="s">
        <v>9</v>
      </c>
      <c r="E29">
        <v>0</v>
      </c>
      <c r="F29">
        <v>2</v>
      </c>
      <c r="G29">
        <v>3</v>
      </c>
      <c r="H29">
        <v>6</v>
      </c>
      <c r="I29">
        <v>2</v>
      </c>
    </row>
    <row r="31" spans="1:10" x14ac:dyDescent="0.35">
      <c r="B31" t="s">
        <v>10</v>
      </c>
      <c r="E31">
        <v>0</v>
      </c>
      <c r="F31">
        <v>5</v>
      </c>
      <c r="G31">
        <v>4</v>
      </c>
      <c r="H31">
        <v>4</v>
      </c>
      <c r="I31">
        <v>0</v>
      </c>
    </row>
    <row r="33" spans="2:11" x14ac:dyDescent="0.35">
      <c r="B33" t="s">
        <v>11</v>
      </c>
      <c r="E33">
        <v>1</v>
      </c>
      <c r="F33">
        <v>3</v>
      </c>
      <c r="G33">
        <v>3</v>
      </c>
      <c r="H33">
        <v>6</v>
      </c>
      <c r="I33">
        <v>0</v>
      </c>
    </row>
    <row r="35" spans="2:11" x14ac:dyDescent="0.35">
      <c r="B35" t="s">
        <v>12</v>
      </c>
      <c r="E35">
        <v>2</v>
      </c>
      <c r="F35">
        <v>5</v>
      </c>
      <c r="G35">
        <v>1</v>
      </c>
      <c r="H35">
        <v>2</v>
      </c>
      <c r="I35">
        <v>3</v>
      </c>
    </row>
    <row r="37" spans="2:11" x14ac:dyDescent="0.35">
      <c r="B37" t="s">
        <v>13</v>
      </c>
      <c r="E37">
        <v>8</v>
      </c>
      <c r="F37">
        <v>2</v>
      </c>
      <c r="G37">
        <v>0</v>
      </c>
      <c r="H37">
        <v>2</v>
      </c>
      <c r="I37">
        <v>1</v>
      </c>
    </row>
    <row r="39" spans="2:11" x14ac:dyDescent="0.35">
      <c r="B39" t="s">
        <v>24</v>
      </c>
      <c r="E39">
        <v>1</v>
      </c>
      <c r="F39">
        <v>6</v>
      </c>
      <c r="G39">
        <v>4</v>
      </c>
      <c r="H39">
        <v>1</v>
      </c>
      <c r="I39">
        <v>1</v>
      </c>
    </row>
    <row r="41" spans="2:11" x14ac:dyDescent="0.35">
      <c r="B41" t="s">
        <v>14</v>
      </c>
      <c r="E41">
        <v>2</v>
      </c>
      <c r="F41">
        <v>3</v>
      </c>
      <c r="G41">
        <v>1</v>
      </c>
      <c r="H41">
        <v>4</v>
      </c>
      <c r="I41">
        <v>2</v>
      </c>
      <c r="J41">
        <v>1</v>
      </c>
      <c r="K41" t="s">
        <v>23</v>
      </c>
    </row>
    <row r="43" spans="2:11" x14ac:dyDescent="0.35">
      <c r="B43" t="s">
        <v>15</v>
      </c>
      <c r="E43">
        <v>5</v>
      </c>
      <c r="F43">
        <v>3</v>
      </c>
      <c r="G43">
        <v>2</v>
      </c>
      <c r="H43">
        <v>1</v>
      </c>
      <c r="I43">
        <v>2</v>
      </c>
      <c r="J43">
        <v>0</v>
      </c>
    </row>
    <row r="45" spans="2:11" x14ac:dyDescent="0.35">
      <c r="B45" t="s">
        <v>16</v>
      </c>
      <c r="E45">
        <v>6</v>
      </c>
      <c r="F45">
        <v>3</v>
      </c>
      <c r="G45">
        <v>3</v>
      </c>
      <c r="H45">
        <v>1</v>
      </c>
      <c r="I45">
        <v>0</v>
      </c>
    </row>
    <row r="47" spans="2:11" x14ac:dyDescent="0.35">
      <c r="B47" t="s">
        <v>17</v>
      </c>
      <c r="E47">
        <v>4</v>
      </c>
      <c r="F47">
        <v>2</v>
      </c>
      <c r="G47">
        <v>1</v>
      </c>
      <c r="H47">
        <v>3</v>
      </c>
      <c r="I47">
        <v>3</v>
      </c>
    </row>
    <row r="49" spans="2:9" x14ac:dyDescent="0.35">
      <c r="B49" t="s">
        <v>18</v>
      </c>
      <c r="E49">
        <v>4</v>
      </c>
      <c r="F49">
        <v>2</v>
      </c>
      <c r="G49">
        <v>3</v>
      </c>
      <c r="H49">
        <v>3</v>
      </c>
      <c r="I49">
        <v>1</v>
      </c>
    </row>
    <row r="50" spans="2:9" x14ac:dyDescent="0.35">
      <c r="E50" t="s">
        <v>25</v>
      </c>
      <c r="F50" t="s">
        <v>26</v>
      </c>
    </row>
    <row r="51" spans="2:9" x14ac:dyDescent="0.35">
      <c r="B51" t="s">
        <v>19</v>
      </c>
      <c r="E51">
        <v>9</v>
      </c>
      <c r="F51">
        <v>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2019-09-28T15:13:50Z</dcterms:created>
  <dcterms:modified xsi:type="dcterms:W3CDTF">2019-09-29T14:19:54Z</dcterms:modified>
</cp:coreProperties>
</file>